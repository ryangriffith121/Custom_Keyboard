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ensy Pin Map" sheetId="1" state="visible" r:id="rId3"/>
    <sheet name="Key Matrix" sheetId="2" state="visible" r:id="rId4"/>
    <sheet name="MCP23017" sheetId="3" state="visible" r:id="rId5"/>
    <sheet name="Display &amp; Encoder"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<sst xmlns="http://schemas.openxmlformats.org/spreadsheetml/2006/main" count="382" uniqueCount="254">
  <si>
    <t xml:space="preserve">Teensy 4.0 pin map - 16x6 keyboard with ST7789 display and rotary encoder</t>
  </si>
  <si>
    <t xml:space="preserve">Header positions numbered top to bottom with the USB connector at the top (L = left edge, R = right edge). Verify against the PJRC pinout card before laying out the footprint.</t>
  </si>
  <si>
    <t xml:space="preserve">Header Pos</t>
  </si>
  <si>
    <t xml:space="preserve">Teensy Pin</t>
  </si>
  <si>
    <t xml:space="preserve">Net Name</t>
  </si>
  <si>
    <t xml:space="preserve">Connects To</t>
  </si>
  <si>
    <t xml:space="preserve">Peripheral / Alt Functions</t>
  </si>
  <si>
    <t xml:space="preserve">Status</t>
  </si>
  <si>
    <t xml:space="preserve">Notes</t>
  </si>
  <si>
    <t xml:space="preserve">L1</t>
  </si>
  <si>
    <t xml:space="preserve">GND</t>
  </si>
  <si>
    <t xml:space="preserve">Ground plane</t>
  </si>
  <si>
    <t xml:space="preserve">Power</t>
  </si>
  <si>
    <t xml:space="preserve">L2</t>
  </si>
  <si>
    <t xml:space="preserve">ROW0</t>
  </si>
  <si>
    <t xml:space="preserve">Matrix row 0 (diode cathodes)</t>
  </si>
  <si>
    <t xml:space="preserve">RX1, CS1, PWM</t>
  </si>
  <si>
    <t xml:space="preserve">Used</t>
  </si>
  <si>
    <t xml:space="preserve">Driven LOW during its scan slot, INPUT (high-Z) otherwise. Serial1 RX is unavailable.</t>
  </si>
  <si>
    <t xml:space="preserve">L3</t>
  </si>
  <si>
    <t xml:space="preserve">ROW1</t>
  </si>
  <si>
    <t xml:space="preserve">Matrix row 1</t>
  </si>
  <si>
    <t xml:space="preserve">TX1, MISO1, PWM</t>
  </si>
  <si>
    <t xml:space="preserve">Same as ROW0.</t>
  </si>
  <si>
    <t xml:space="preserve">L4</t>
  </si>
  <si>
    <t xml:space="preserve">ROW2</t>
  </si>
  <si>
    <t xml:space="preserve">Matrix row 2</t>
  </si>
  <si>
    <t xml:space="preserve">PWM</t>
  </si>
  <si>
    <t xml:space="preserve">L5</t>
  </si>
  <si>
    <t xml:space="preserve">ROW3</t>
  </si>
  <si>
    <t xml:space="preserve">Matrix row 3</t>
  </si>
  <si>
    <t xml:space="preserve">L6</t>
  </si>
  <si>
    <t xml:space="preserve">ROW4</t>
  </si>
  <si>
    <t xml:space="preserve">Matrix row 4</t>
  </si>
  <si>
    <t xml:space="preserve">L7</t>
  </si>
  <si>
    <t xml:space="preserve">ROW5</t>
  </si>
  <si>
    <t xml:space="preserve">Matrix row 5</t>
  </si>
  <si>
    <t xml:space="preserve">L8</t>
  </si>
  <si>
    <t xml:space="preserve">ENC_A</t>
  </si>
  <si>
    <t xml:space="preserve">Rotary encoder A</t>
  </si>
  <si>
    <t xml:space="preserve">INPUT_PULLUP. Encoder common (C) goes to GND.</t>
  </si>
  <si>
    <t xml:space="preserve">L9</t>
  </si>
  <si>
    <t xml:space="preserve">ENC_B</t>
  </si>
  <si>
    <t xml:space="preserve">Rotary encoder B</t>
  </si>
  <si>
    <t xml:space="preserve">RX2, PWM</t>
  </si>
  <si>
    <t xml:space="preserve">INPUT_PULLUP.</t>
  </si>
  <si>
    <t xml:space="preserve">L10</t>
  </si>
  <si>
    <t xml:space="preserve">LCD_RST</t>
  </si>
  <si>
    <t xml:space="preserve">ST7789 RES</t>
  </si>
  <si>
    <t xml:space="preserve">TX2, PWM</t>
  </si>
  <si>
    <t xml:space="preserve">Digital output.</t>
  </si>
  <si>
    <t xml:space="preserve">L11</t>
  </si>
  <si>
    <t xml:space="preserve">LCD_DC</t>
  </si>
  <si>
    <t xml:space="preserve">ST7789 DC</t>
  </si>
  <si>
    <t xml:space="preserve">L12</t>
  </si>
  <si>
    <t xml:space="preserve">LCD_CS</t>
  </si>
  <si>
    <t xml:space="preserve">ST7789 CS</t>
  </si>
  <si>
    <t xml:space="preserve">SPI0 CS0, PWM</t>
  </si>
  <si>
    <t xml:space="preserve">SPI0 chip select.</t>
  </si>
  <si>
    <t xml:space="preserve">L13</t>
  </si>
  <si>
    <t xml:space="preserve">LCD_MOSI</t>
  </si>
  <si>
    <t xml:space="preserve">ST7789 SDA (SPI data in)</t>
  </si>
  <si>
    <t xml:space="preserve">SPI0 MOSI, PWM</t>
  </si>
  <si>
    <t xml:space="preserve">The module's 'SDA' label is SPI MOSI, not I2C.</t>
  </si>
  <si>
    <t xml:space="preserve">L14</t>
  </si>
  <si>
    <t xml:space="preserve">(MISO free)</t>
  </si>
  <si>
    <t xml:space="preserve">Unconnected</t>
  </si>
  <si>
    <t xml:space="preserve">SPI0 MISO, PWM</t>
  </si>
  <si>
    <t xml:space="preserve">Spare</t>
  </si>
  <si>
    <t xml:space="preserve">Display never sends data back. Keep free in case a later screen with touch or SD needs MISO.</t>
  </si>
  <si>
    <t xml:space="preserve">R1</t>
  </si>
  <si>
    <t xml:space="preserve">VIN</t>
  </si>
  <si>
    <t xml:space="preserve">Not used in this design</t>
  </si>
  <si>
    <t xml:space="preserve">5 V from USB</t>
  </si>
  <si>
    <t xml:space="preserve">Leave unconnected unless powering from an external 5 V source.</t>
  </si>
  <si>
    <t xml:space="preserve">R2</t>
  </si>
  <si>
    <t xml:space="preserve">R3</t>
  </si>
  <si>
    <t xml:space="preserve">3V3</t>
  </si>
  <si>
    <t xml:space="preserve">MCP23017 VDD and RESET, ST7789 VCC, I2C pull-ups</t>
  </si>
  <si>
    <t xml:space="preserve">3.3 V output</t>
  </si>
  <si>
    <t xml:space="preserve">Teensy 4.0 I/O is 3.3 V only (not 5 V tolerant).</t>
  </si>
  <si>
    <t xml:space="preserve">R4</t>
  </si>
  <si>
    <t xml:space="preserve">(spare)</t>
  </si>
  <si>
    <t xml:space="preserve">A9, PWM</t>
  </si>
  <si>
    <t xml:space="preserve">Free for RGB underglow data, extra key, etc.</t>
  </si>
  <si>
    <t xml:space="preserve">R5</t>
  </si>
  <si>
    <t xml:space="preserve">A8, PWM</t>
  </si>
  <si>
    <t xml:space="preserve">Free.</t>
  </si>
  <si>
    <t xml:space="preserve">R6</t>
  </si>
  <si>
    <t xml:space="preserve">A7, RX5</t>
  </si>
  <si>
    <t xml:space="preserve">Could drive the MCP23017 RESET pin for a software reset (otherwise tie RESET to 3V3).</t>
  </si>
  <si>
    <t xml:space="preserve">R7</t>
  </si>
  <si>
    <t xml:space="preserve">MCP_INT</t>
  </si>
  <si>
    <t xml:space="preserve">MCP23017 INTA (pin 20)</t>
  </si>
  <si>
    <t xml:space="preserve">A6, TX5</t>
  </si>
  <si>
    <t xml:space="preserve">Optional. Set the IOCON mirror bit so INTA covers both ports. Matrix works fine by polling without it.</t>
  </si>
  <si>
    <t xml:space="preserve">R8</t>
  </si>
  <si>
    <t xml:space="preserve">I2C_SCL</t>
  </si>
  <si>
    <t xml:space="preserve">MCP23017 SCK/SCL (pin 12)</t>
  </si>
  <si>
    <t xml:space="preserve">A5, SCL0 (Wire), PWM</t>
  </si>
  <si>
    <t xml:space="preserve">2.2 kOhm pull-up to 3V3.</t>
  </si>
  <si>
    <t xml:space="preserve">R9</t>
  </si>
  <si>
    <t xml:space="preserve">I2C_SDA</t>
  </si>
  <si>
    <t xml:space="preserve">MCP23017 SDA (pin 13)</t>
  </si>
  <si>
    <t xml:space="preserve">A4, SDA0 (Wire), PWM</t>
  </si>
  <si>
    <t xml:space="preserve">R10</t>
  </si>
  <si>
    <t xml:space="preserve">A3, TX4, SDA1</t>
  </si>
  <si>
    <t xml:space="preserve">R11</t>
  </si>
  <si>
    <t xml:space="preserve">A2, RX4, SCL1</t>
  </si>
  <si>
    <t xml:space="preserve">R12</t>
  </si>
  <si>
    <t xml:space="preserve">LCD_BLK</t>
  </si>
  <si>
    <t xml:space="preserve">ST7789 BLK (backlight)</t>
  </si>
  <si>
    <t xml:space="preserve">A1, RX3, PWM</t>
  </si>
  <si>
    <t xml:space="preserve">PWM for backlight dimming. If dimming isn't needed, tie BLK to 3V3 instead and free this pin.</t>
  </si>
  <si>
    <t xml:space="preserve">R13</t>
  </si>
  <si>
    <t xml:space="preserve">ENC_SW</t>
  </si>
  <si>
    <t xml:space="preserve">Encoder push-button (one leg)</t>
  </si>
  <si>
    <t xml:space="preserve">A0, TX3, PWM</t>
  </si>
  <si>
    <t xml:space="preserve">INPUT_PULLUP. Other button leg goes to GND.</t>
  </si>
  <si>
    <t xml:space="preserve">R14</t>
  </si>
  <si>
    <t xml:space="preserve">LCD_SCK</t>
  </si>
  <si>
    <t xml:space="preserve">ST7789 SCL (SPI clock)</t>
  </si>
  <si>
    <t xml:space="preserve">SPI0 SCK, onboard LED, PWM</t>
  </si>
  <si>
    <t xml:space="preserve">Shares the onboard LED, which flickers faintly during SPI traffic. Harmless.</t>
  </si>
  <si>
    <t xml:space="preserve">Summary</t>
  </si>
  <si>
    <t xml:space="preserve">GPIO pins used</t>
  </si>
  <si>
    <t xml:space="preserve">GPIO pins spare</t>
  </si>
  <si>
    <t xml:space="preserve">Through-hole GPIO total</t>
  </si>
  <si>
    <t xml:space="preserve">Power / ground pins</t>
  </si>
  <si>
    <t xml:space="preserve">Total header pins</t>
  </si>
  <si>
    <t xml:space="preserve">Key matrix - 6 rows on the Teensy, 16 columns on the MCP23017</t>
  </si>
  <si>
    <t xml:space="preserve">Rows are driven LOW one at a time by the Teensy; columns are read through the MCP23017 with its internal pull-ups enabled.</t>
  </si>
  <si>
    <t xml:space="preserve">Diode on every switch: anode toward the switch / column side, cathode (stripe) toward the row line.</t>
  </si>
  <si>
    <t xml:space="preserve">Row #</t>
  </si>
  <si>
    <t xml:space="preserve">Output LOW when scanning, INPUT when idle.</t>
  </si>
  <si>
    <t xml:space="preserve">Col #</t>
  </si>
  <si>
    <t xml:space="preserve">MCP23017 Port Pin</t>
  </si>
  <si>
    <t xml:space="preserve">MCP Register</t>
  </si>
  <si>
    <t xml:space="preserve">Bit</t>
  </si>
  <si>
    <t xml:space="preserve">MCP23017 Chip Pin (28-pin)</t>
  </si>
  <si>
    <t xml:space="preserve">Input with internal pull-up (GPPU) enabled.</t>
  </si>
  <si>
    <t xml:space="preserve">Maximum key positions</t>
  </si>
  <si>
    <t xml:space="preserve">MCP23017 - pin by pin, matched to the KiCad symbol (28-pin SPDIP / SOIC / SSOP numbering)</t>
  </si>
  <si>
    <t xml:space="preserve">Pin names and numbers follow the symbol in the schematic. Pins 11 and 14 are NC and are not drawn on the symbol. Check the datasheet pinout if you use the QFN-28 package; its pin numbers differ.</t>
  </si>
  <si>
    <t xml:space="preserve">Chip Pin</t>
  </si>
  <si>
    <t xml:space="preserve">Pin Name (on symbol)</t>
  </si>
  <si>
    <t xml:space="preserve">Symbol Side</t>
  </si>
  <si>
    <t xml:space="preserve">Position on Side (left to right)</t>
  </si>
  <si>
    <t xml:space="preserve">Net / Connects To</t>
  </si>
  <si>
    <t xml:space="preserve">GPB0</t>
  </si>
  <si>
    <t xml:space="preserve">Bottom</t>
  </si>
  <si>
    <t xml:space="preserve">COL8</t>
  </si>
  <si>
    <t xml:space="preserve">GPB1</t>
  </si>
  <si>
    <t xml:space="preserve">COL9</t>
  </si>
  <si>
    <t xml:space="preserve">GPB2</t>
  </si>
  <si>
    <t xml:space="preserve">COL10</t>
  </si>
  <si>
    <t xml:space="preserve">GPB3</t>
  </si>
  <si>
    <t xml:space="preserve">COL11</t>
  </si>
  <si>
    <t xml:space="preserve">GPB4</t>
  </si>
  <si>
    <t xml:space="preserve">COL12</t>
  </si>
  <si>
    <t xml:space="preserve">GPB5</t>
  </si>
  <si>
    <t xml:space="preserve">COL13</t>
  </si>
  <si>
    <t xml:space="preserve">GPB6</t>
  </si>
  <si>
    <t xml:space="preserve">COL14</t>
  </si>
  <si>
    <t xml:space="preserve">GPB7</t>
  </si>
  <si>
    <t xml:space="preserve">COL15</t>
  </si>
  <si>
    <t xml:space="preserve">VDD</t>
  </si>
  <si>
    <t xml:space="preserve">Right</t>
  </si>
  <si>
    <t xml:space="preserve">Place a 0.1 uF decoupling capacitor to GND close to this pin.</t>
  </si>
  <si>
    <t xml:space="preserve">VSS</t>
  </si>
  <si>
    <t xml:space="preserve">Left</t>
  </si>
  <si>
    <t xml:space="preserve">NC</t>
  </si>
  <si>
    <t xml:space="preserve">Not drawn</t>
  </si>
  <si>
    <t xml:space="preserve">-</t>
  </si>
  <si>
    <t xml:space="preserve">No connect</t>
  </si>
  <si>
    <t xml:space="preserve">Hidden on the symbol. Chip-select on the SPI variant (MCP23S17); unused on I2C.</t>
  </si>
  <si>
    <t xml:space="preserve">SCK</t>
  </si>
  <si>
    <t xml:space="preserve">Top</t>
  </si>
  <si>
    <t xml:space="preserve">I2C_SCL (Teensy 19)</t>
  </si>
  <si>
    <t xml:space="preserve">Labeled SCK on the symbol; in I2C mode this is the SCL clock line. 2.2 kOhm pull-up to 3V3.</t>
  </si>
  <si>
    <t xml:space="preserve">SDA</t>
  </si>
  <si>
    <t xml:space="preserve">I2C_SDA (Teensy 18)</t>
  </si>
  <si>
    <t xml:space="preserve">Hidden on the symbol.</t>
  </si>
  <si>
    <t xml:space="preserve">A0</t>
  </si>
  <si>
    <t xml:space="preserve">Address bit 0 low.</t>
  </si>
  <si>
    <t xml:space="preserve">A1</t>
  </si>
  <si>
    <t xml:space="preserve">Address bit 1 low.</t>
  </si>
  <si>
    <t xml:space="preserve">A2</t>
  </si>
  <si>
    <t xml:space="preserve">Address bit 2 low. A0-A2 all low gives I2C address 0x20.</t>
  </si>
  <si>
    <t xml:space="preserve">RESET</t>
  </si>
  <si>
    <t xml:space="preserve">Active low. Tie high (optionally via 10 kOhm), or drive from spare Teensy pin 21.</t>
  </si>
  <si>
    <t xml:space="preserve">INTB</t>
  </si>
  <si>
    <t xml:space="preserve">Not needed when INT mirroring is enabled.</t>
  </si>
  <si>
    <t xml:space="preserve">INTA</t>
  </si>
  <si>
    <t xml:space="preserve">MCP_INT (Teensy 20)</t>
  </si>
  <si>
    <t xml:space="preserve">Optional interrupt line.</t>
  </si>
  <si>
    <t xml:space="preserve">GPA0</t>
  </si>
  <si>
    <t xml:space="preserve">COL0</t>
  </si>
  <si>
    <t xml:space="preserve">GPA1</t>
  </si>
  <si>
    <t xml:space="preserve">COL1</t>
  </si>
  <si>
    <t xml:space="preserve">GPA2</t>
  </si>
  <si>
    <t xml:space="preserve">COL2</t>
  </si>
  <si>
    <t xml:space="preserve">GPA3</t>
  </si>
  <si>
    <t xml:space="preserve">COL3</t>
  </si>
  <si>
    <t xml:space="preserve">GPA4</t>
  </si>
  <si>
    <t xml:space="preserve">COL4</t>
  </si>
  <si>
    <t xml:space="preserve">GPA5</t>
  </si>
  <si>
    <t xml:space="preserve">COL5</t>
  </si>
  <si>
    <t xml:space="preserve">GPA6</t>
  </si>
  <si>
    <t xml:space="preserve">COL6</t>
  </si>
  <si>
    <t xml:space="preserve">GPA7</t>
  </si>
  <si>
    <t xml:space="preserve">COL7</t>
  </si>
  <si>
    <t xml:space="preserve">ST7789 1.14" 135x240 SPI display and rotary encoder</t>
  </si>
  <si>
    <t xml:space="preserve">Display pin order below is the common one for 8-pin modules. Vendors differ, so confirm against the silkscreen on your module.</t>
  </si>
  <si>
    <t xml:space="preserve">Display module (8-pin, 3.3 V)</t>
  </si>
  <si>
    <t xml:space="preserve">Module Pin</t>
  </si>
  <si>
    <t xml:space="preserve">Signal</t>
  </si>
  <si>
    <t xml:space="preserve">Teensy Pin / Rail</t>
  </si>
  <si>
    <t xml:space="preserve">VCC</t>
  </si>
  <si>
    <t xml:space="preserve">3.3 V logic and power.</t>
  </si>
  <si>
    <t xml:space="preserve">SCL</t>
  </si>
  <si>
    <t xml:space="preserve">SPI clock (SCK).</t>
  </si>
  <si>
    <t xml:space="preserve">SPI data in (MOSI).</t>
  </si>
  <si>
    <t xml:space="preserve">RES</t>
  </si>
  <si>
    <t xml:space="preserve">Reset.</t>
  </si>
  <si>
    <t xml:space="preserve">DC</t>
  </si>
  <si>
    <t xml:space="preserve">Data / command.</t>
  </si>
  <si>
    <t xml:space="preserve">CS</t>
  </si>
  <si>
    <t xml:space="preserve">Chip select.</t>
  </si>
  <si>
    <t xml:space="preserve">BLK</t>
  </si>
  <si>
    <t xml:space="preserve">Backlight. PWM from pin 15, or tie to 3V3 for always-on.</t>
  </si>
  <si>
    <t xml:space="preserve">Rotary encoder (EC11-style) with push-button</t>
  </si>
  <si>
    <t xml:space="preserve">Encoder Pin</t>
  </si>
  <si>
    <t xml:space="preserve">A</t>
  </si>
  <si>
    <t xml:space="preserve">Quadrature A</t>
  </si>
  <si>
    <t xml:space="preserve">INPUT_PULLUP. Optional 10 nF to GND for hardware debounce.</t>
  </si>
  <si>
    <t xml:space="preserve">C</t>
  </si>
  <si>
    <t xml:space="preserve">Common</t>
  </si>
  <si>
    <t xml:space="preserve">B</t>
  </si>
  <si>
    <t xml:space="preserve">Quadrature B</t>
  </si>
  <si>
    <t xml:space="preserve">SW1</t>
  </si>
  <si>
    <t xml:space="preserve">Push-button</t>
  </si>
  <si>
    <t xml:space="preserve">SW2</t>
  </si>
  <si>
    <t xml:space="preserve">Assumptions and notes</t>
  </si>
  <si>
    <t xml:space="preserve">Design proposal, not tested hardware. Confirm every pin against the Teensy 4.0 pinout card and your module datasheets before ordering a PCB.</t>
  </si>
  <si>
    <t xml:space="preserve">Only the 24 through-hole GPIO (pins 0-23) are used. Bottom-side pads (24-33) are left alone so the Teensy can sit on a standard 2x14 footprint.</t>
  </si>
  <si>
    <t xml:space="preserve">The 16 columns need an I/O expander because rows + display + encoder + 16 columns would need 30 GPIO.</t>
  </si>
  <si>
    <t xml:space="preserve">Display assumed to be an 8-pin ST7789 module (GND, VCC, SCL, SDA, RES, DC, CS, BLK) at 3.3 V. Pin order is the common one and is not guaranteed.</t>
  </si>
  <si>
    <t xml:space="preserve">Encoder assumed to be a standard 3-pin plus 2-pin switch part (EC11 style). Pin labels differ between vendors.</t>
  </si>
  <si>
    <t xml:space="preserve">I2C address 0x20 assumes MCP23017 A0-A2 are tied to GND. I2C speed of 400 kHz is enough for a full 6-row scan.</t>
  </si>
  <si>
    <t xml:space="preserve">Teensy I/O is 3.3 V only. Keep every connected device at 3.3 V logic.</t>
  </si>
  <si>
    <t xml:space="preserve">Pin numbers on the 'Teensy Pin Map' and 'MCP23017' sheets and the display/encoder tables are typed by hand. Column-to-MCP mapping on 'Key Matrix' is formula-driven from the Col # cells.</t>
  </si>
  <si>
    <t xml:space="preserve">The MCP23017 tab follows the pin names and numbers on the KiCad symbol. The symbol labels pin 12 SCK, which is the I2C SCL clock line.</t>
  </si>
  <si>
    <t xml:space="preserve">Teensy micro-USB connector sits at the top edge of the module. Place the Teensy so that port is reachable from the case.</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</si>
</sst>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2EFDA"/>
        </patternFill>
      </fill>
    </dxf>
    <dxf>
      <fill>
        <patternFill>
          <bgColor rgb="FFEDEDE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4"/>
    <col collapsed="false" customWidth="true" hidden="false" outlineLevel="0" max="4" min="4" style="0" width="40"/>
    <col collapsed="false" customWidth="true" hidden="false" outlineLevel="0" max="5" min="5" style="0" width="26"/>
    <col collapsed="false" customWidth="true" hidden="false" outlineLevel="0" max="6" min="6" style="0" width="9"/>
    <col collapsed="false" customWidth="true" hidden="false" outlineLevel="0" max="7" min="7"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s">
        <v>9</v>
      </c>
      <c r="B5" s="4" t="s">
        <v>10</v>
      </c>
      <c r="C5" s="5" t="s">
        <v>10</v>
      </c>
      <c r="D5" s="5" t="s">
        <v>11</v>
      </c>
      <c r="E5" s="5" t="s">
        <v>12</v>
      </c>
      <c r="F5" s="4" t="s">
        <v>12</v>
      </c>
      <c r="G5" s="5"/>
    </row>
    <row r="6" customFormat="false" ht="23.85" hidden="false" customHeight="false" outlineLevel="0" collapsed="false">
      <c r="A6" s="4" t="s">
        <v>13</v>
      </c>
      <c r="B6" s="4" t="n">
        <v>0</v>
      </c>
      <c r="C6" s="5" t="s">
        <v>14</v>
      </c>
      <c r="D6" s="5" t="s">
        <v>15</v>
      </c>
      <c r="E6" s="5" t="s">
        <v>16</v>
      </c>
      <c r="F6" s="4" t="s">
        <v>17</v>
      </c>
      <c r="G6" s="5" t="s">
        <v>18</v>
      </c>
    </row>
    <row r="7" customFormat="false" ht="15" hidden="false" customHeight="false" outlineLevel="0" collapsed="false">
      <c r="A7" s="4" t="s">
        <v>19</v>
      </c>
      <c r="B7" s="4" t="n">
        <v>1</v>
      </c>
      <c r="C7" s="5" t="s">
        <v>20</v>
      </c>
      <c r="D7" s="5" t="s">
        <v>21</v>
      </c>
      <c r="E7" s="5" t="s">
        <v>22</v>
      </c>
      <c r="F7" s="4" t="s">
        <v>17</v>
      </c>
      <c r="G7" s="5" t="s">
        <v>23</v>
      </c>
    </row>
    <row r="8" customFormat="false" ht="15" hidden="false" customHeight="false" outlineLevel="0" collapsed="false">
      <c r="A8" s="4" t="s">
        <v>24</v>
      </c>
      <c r="B8" s="4" t="n">
        <v>2</v>
      </c>
      <c r="C8" s="5" t="s">
        <v>25</v>
      </c>
      <c r="D8" s="5" t="s">
        <v>26</v>
      </c>
      <c r="E8" s="5" t="s">
        <v>27</v>
      </c>
      <c r="F8" s="4" t="s">
        <v>17</v>
      </c>
      <c r="G8" s="5" t="s">
        <v>23</v>
      </c>
    </row>
    <row r="9" customFormat="false" ht="15" hidden="false" customHeight="false" outlineLevel="0" collapsed="false">
      <c r="A9" s="4" t="s">
        <v>28</v>
      </c>
      <c r="B9" s="4" t="n">
        <v>3</v>
      </c>
      <c r="C9" s="5" t="s">
        <v>29</v>
      </c>
      <c r="D9" s="5" t="s">
        <v>30</v>
      </c>
      <c r="E9" s="5" t="s">
        <v>27</v>
      </c>
      <c r="F9" s="4" t="s">
        <v>17</v>
      </c>
      <c r="G9" s="5" t="s">
        <v>23</v>
      </c>
    </row>
    <row r="10" customFormat="false" ht="15" hidden="false" customHeight="false" outlineLevel="0" collapsed="false">
      <c r="A10" s="4" t="s">
        <v>31</v>
      </c>
      <c r="B10" s="4" t="n">
        <v>4</v>
      </c>
      <c r="C10" s="5" t="s">
        <v>32</v>
      </c>
      <c r="D10" s="5" t="s">
        <v>33</v>
      </c>
      <c r="E10" s="5" t="s">
        <v>27</v>
      </c>
      <c r="F10" s="4" t="s">
        <v>17</v>
      </c>
      <c r="G10" s="5" t="s">
        <v>23</v>
      </c>
    </row>
    <row r="11" customFormat="false" ht="15" hidden="false" customHeight="false" outlineLevel="0" collapsed="false">
      <c r="A11" s="4" t="s">
        <v>34</v>
      </c>
      <c r="B11" s="4" t="n">
        <v>5</v>
      </c>
      <c r="C11" s="5" t="s">
        <v>35</v>
      </c>
      <c r="D11" s="5" t="s">
        <v>36</v>
      </c>
      <c r="E11" s="5" t="s">
        <v>27</v>
      </c>
      <c r="F11" s="4" t="s">
        <v>17</v>
      </c>
      <c r="G11" s="5" t="s">
        <v>23</v>
      </c>
    </row>
    <row r="12" customFormat="false" ht="15" hidden="false" customHeight="false" outlineLevel="0" collapsed="false">
      <c r="A12" s="4" t="s">
        <v>37</v>
      </c>
      <c r="B12" s="4" t="n">
        <v>6</v>
      </c>
      <c r="C12" s="5" t="s">
        <v>38</v>
      </c>
      <c r="D12" s="5" t="s">
        <v>39</v>
      </c>
      <c r="E12" s="5" t="s">
        <v>27</v>
      </c>
      <c r="F12" s="4" t="s">
        <v>17</v>
      </c>
      <c r="G12" s="5" t="s">
        <v>40</v>
      </c>
    </row>
    <row r="13" customFormat="false" ht="15" hidden="false" customHeight="false" outlineLevel="0" collapsed="false">
      <c r="A13" s="4" t="s">
        <v>41</v>
      </c>
      <c r="B13" s="4" t="n">
        <v>7</v>
      </c>
      <c r="C13" s="5" t="s">
        <v>42</v>
      </c>
      <c r="D13" s="5" t="s">
        <v>43</v>
      </c>
      <c r="E13" s="5" t="s">
        <v>44</v>
      </c>
      <c r="F13" s="4" t="s">
        <v>17</v>
      </c>
      <c r="G13" s="5" t="s">
        <v>45</v>
      </c>
    </row>
    <row r="14" customFormat="false" ht="15" hidden="false" customHeight="false" outlineLevel="0" collapsed="false">
      <c r="A14" s="4" t="s">
        <v>46</v>
      </c>
      <c r="B14" s="4" t="n">
        <v>8</v>
      </c>
      <c r="C14" s="5" t="s">
        <v>47</v>
      </c>
      <c r="D14" s="5" t="s">
        <v>48</v>
      </c>
      <c r="E14" s="5" t="s">
        <v>49</v>
      </c>
      <c r="F14" s="4" t="s">
        <v>17</v>
      </c>
      <c r="G14" s="5" t="s">
        <v>50</v>
      </c>
    </row>
    <row r="15" customFormat="false" ht="15" hidden="false" customHeight="false" outlineLevel="0" collapsed="false">
      <c r="A15" s="4" t="s">
        <v>51</v>
      </c>
      <c r="B15" s="4" t="n">
        <v>9</v>
      </c>
      <c r="C15" s="5" t="s">
        <v>52</v>
      </c>
      <c r="D15" s="5" t="s">
        <v>53</v>
      </c>
      <c r="E15" s="5" t="s">
        <v>27</v>
      </c>
      <c r="F15" s="4" t="s">
        <v>17</v>
      </c>
      <c r="G15" s="5" t="s">
        <v>50</v>
      </c>
    </row>
    <row r="16" customFormat="false" ht="15" hidden="false" customHeight="false" outlineLevel="0" collapsed="false">
      <c r="A16" s="4" t="s">
        <v>54</v>
      </c>
      <c r="B16" s="4" t="n">
        <v>10</v>
      </c>
      <c r="C16" s="5" t="s">
        <v>55</v>
      </c>
      <c r="D16" s="5" t="s">
        <v>56</v>
      </c>
      <c r="E16" s="5" t="s">
        <v>57</v>
      </c>
      <c r="F16" s="4" t="s">
        <v>17</v>
      </c>
      <c r="G16" s="5" t="s">
        <v>58</v>
      </c>
    </row>
    <row r="17" customFormat="false" ht="15" hidden="false" customHeight="false" outlineLevel="0" collapsed="false">
      <c r="A17" s="4" t="s">
        <v>59</v>
      </c>
      <c r="B17" s="4" t="n">
        <v>11</v>
      </c>
      <c r="C17" s="5" t="s">
        <v>60</v>
      </c>
      <c r="D17" s="5" t="s">
        <v>61</v>
      </c>
      <c r="E17" s="5" t="s">
        <v>62</v>
      </c>
      <c r="F17" s="4" t="s">
        <v>17</v>
      </c>
      <c r="G17" s="5" t="s">
        <v>63</v>
      </c>
    </row>
    <row r="18" customFormat="false" ht="23.85" hidden="false" customHeight="false" outlineLevel="0" collapsed="false">
      <c r="A18" s="4" t="s">
        <v>64</v>
      </c>
      <c r="B18" s="4" t="n">
        <v>12</v>
      </c>
      <c r="C18" s="5" t="s">
        <v>65</v>
      </c>
      <c r="D18" s="5" t="s">
        <v>66</v>
      </c>
      <c r="E18" s="5" t="s">
        <v>67</v>
      </c>
      <c r="F18" s="4" t="s">
        <v>68</v>
      </c>
      <c r="G18" s="5" t="s">
        <v>69</v>
      </c>
    </row>
    <row r="19" customFormat="false" ht="15" hidden="false" customHeight="false" outlineLevel="0" collapsed="false">
      <c r="A19" s="4" t="s">
        <v>70</v>
      </c>
      <c r="B19" s="4" t="s">
        <v>71</v>
      </c>
      <c r="C19" s="5" t="s">
        <v>71</v>
      </c>
      <c r="D19" s="5" t="s">
        <v>72</v>
      </c>
      <c r="E19" s="5" t="s">
        <v>73</v>
      </c>
      <c r="F19" s="4" t="s">
        <v>12</v>
      </c>
      <c r="G19" s="5" t="s">
        <v>74</v>
      </c>
    </row>
    <row r="20" customFormat="false" ht="15" hidden="false" customHeight="false" outlineLevel="0" collapsed="false">
      <c r="A20" s="4" t="s">
        <v>75</v>
      </c>
      <c r="B20" s="4" t="s">
        <v>10</v>
      </c>
      <c r="C20" s="5" t="s">
        <v>10</v>
      </c>
      <c r="D20" s="5" t="s">
        <v>11</v>
      </c>
      <c r="E20" s="5" t="s">
        <v>12</v>
      </c>
      <c r="F20" s="4" t="s">
        <v>12</v>
      </c>
      <c r="G20" s="5"/>
    </row>
    <row r="21" customFormat="false" ht="23.85" hidden="false" customHeight="false" outlineLevel="0" collapsed="false">
      <c r="A21" s="4" t="s">
        <v>76</v>
      </c>
      <c r="B21" s="4" t="s">
        <v>77</v>
      </c>
      <c r="C21" s="5" t="s">
        <v>77</v>
      </c>
      <c r="D21" s="5" t="s">
        <v>78</v>
      </c>
      <c r="E21" s="5" t="s">
        <v>79</v>
      </c>
      <c r="F21" s="4" t="s">
        <v>12</v>
      </c>
      <c r="G21" s="5" t="s">
        <v>80</v>
      </c>
    </row>
    <row r="22" customFormat="false" ht="15" hidden="false" customHeight="false" outlineLevel="0" collapsed="false">
      <c r="A22" s="4" t="s">
        <v>81</v>
      </c>
      <c r="B22" s="4" t="n">
        <v>23</v>
      </c>
      <c r="C22" s="5" t="s">
        <v>82</v>
      </c>
      <c r="D22" s="5" t="s">
        <v>66</v>
      </c>
      <c r="E22" s="5" t="s">
        <v>83</v>
      </c>
      <c r="F22" s="4" t="s">
        <v>68</v>
      </c>
      <c r="G22" s="5" t="s">
        <v>84</v>
      </c>
    </row>
    <row r="23" customFormat="false" ht="15" hidden="false" customHeight="false" outlineLevel="0" collapsed="false">
      <c r="A23" s="4" t="s">
        <v>85</v>
      </c>
      <c r="B23" s="4" t="n">
        <v>22</v>
      </c>
      <c r="C23" s="5" t="s">
        <v>82</v>
      </c>
      <c r="D23" s="5" t="s">
        <v>66</v>
      </c>
      <c r="E23" s="5" t="s">
        <v>86</v>
      </c>
      <c r="F23" s="4" t="s">
        <v>68</v>
      </c>
      <c r="G23" s="5" t="s">
        <v>87</v>
      </c>
    </row>
    <row r="24" customFormat="false" ht="23.85" hidden="false" customHeight="false" outlineLevel="0" collapsed="false">
      <c r="A24" s="4" t="s">
        <v>88</v>
      </c>
      <c r="B24" s="4" t="n">
        <v>21</v>
      </c>
      <c r="C24" s="5" t="s">
        <v>82</v>
      </c>
      <c r="D24" s="5" t="s">
        <v>66</v>
      </c>
      <c r="E24" s="5" t="s">
        <v>89</v>
      </c>
      <c r="F24" s="4" t="s">
        <v>68</v>
      </c>
      <c r="G24" s="5" t="s">
        <v>90</v>
      </c>
    </row>
    <row r="25" customFormat="false" ht="23.85" hidden="false" customHeight="false" outlineLevel="0" collapsed="false">
      <c r="A25" s="4" t="s">
        <v>91</v>
      </c>
      <c r="B25" s="4" t="n">
        <v>20</v>
      </c>
      <c r="C25" s="5" t="s">
        <v>92</v>
      </c>
      <c r="D25" s="5" t="s">
        <v>93</v>
      </c>
      <c r="E25" s="5" t="s">
        <v>94</v>
      </c>
      <c r="F25" s="4" t="s">
        <v>17</v>
      </c>
      <c r="G25" s="5" t="s">
        <v>95</v>
      </c>
    </row>
    <row r="26" customFormat="false" ht="15" hidden="false" customHeight="false" outlineLevel="0" collapsed="false">
      <c r="A26" s="4" t="s">
        <v>96</v>
      </c>
      <c r="B26" s="4" t="n">
        <v>19</v>
      </c>
      <c r="C26" s="5" t="s">
        <v>97</v>
      </c>
      <c r="D26" s="5" t="s">
        <v>98</v>
      </c>
      <c r="E26" s="5" t="s">
        <v>99</v>
      </c>
      <c r="F26" s="4" t="s">
        <v>17</v>
      </c>
      <c r="G26" s="5" t="s">
        <v>100</v>
      </c>
    </row>
    <row r="27" customFormat="false" ht="15" hidden="false" customHeight="false" outlineLevel="0" collapsed="false">
      <c r="A27" s="4" t="s">
        <v>101</v>
      </c>
      <c r="B27" s="4" t="n">
        <v>18</v>
      </c>
      <c r="C27" s="5" t="s">
        <v>102</v>
      </c>
      <c r="D27" s="5" t="s">
        <v>103</v>
      </c>
      <c r="E27" s="5" t="s">
        <v>104</v>
      </c>
      <c r="F27" s="4" t="s">
        <v>17</v>
      </c>
      <c r="G27" s="5" t="s">
        <v>100</v>
      </c>
    </row>
    <row r="28" customFormat="false" ht="15" hidden="false" customHeight="false" outlineLevel="0" collapsed="false">
      <c r="A28" s="4" t="s">
        <v>105</v>
      </c>
      <c r="B28" s="4" t="n">
        <v>17</v>
      </c>
      <c r="C28" s="5" t="s">
        <v>82</v>
      </c>
      <c r="D28" s="5" t="s">
        <v>66</v>
      </c>
      <c r="E28" s="5" t="s">
        <v>106</v>
      </c>
      <c r="F28" s="4" t="s">
        <v>68</v>
      </c>
      <c r="G28" s="5" t="s">
        <v>87</v>
      </c>
    </row>
    <row r="29" customFormat="false" ht="15" hidden="false" customHeight="false" outlineLevel="0" collapsed="false">
      <c r="A29" s="4" t="s">
        <v>107</v>
      </c>
      <c r="B29" s="4" t="n">
        <v>16</v>
      </c>
      <c r="C29" s="5" t="s">
        <v>82</v>
      </c>
      <c r="D29" s="5" t="s">
        <v>66</v>
      </c>
      <c r="E29" s="5" t="s">
        <v>108</v>
      </c>
      <c r="F29" s="4" t="s">
        <v>68</v>
      </c>
      <c r="G29" s="5" t="s">
        <v>87</v>
      </c>
    </row>
    <row r="30" customFormat="false" ht="23.85" hidden="false" customHeight="false" outlineLevel="0" collapsed="false">
      <c r="A30" s="4" t="s">
        <v>109</v>
      </c>
      <c r="B30" s="4" t="n">
        <v>15</v>
      </c>
      <c r="C30" s="5" t="s">
        <v>110</v>
      </c>
      <c r="D30" s="5" t="s">
        <v>111</v>
      </c>
      <c r="E30" s="5" t="s">
        <v>112</v>
      </c>
      <c r="F30" s="4" t="s">
        <v>17</v>
      </c>
      <c r="G30" s="5" t="s">
        <v>113</v>
      </c>
    </row>
    <row r="31" customFormat="false" ht="15" hidden="false" customHeight="false" outlineLevel="0" collapsed="false">
      <c r="A31" s="4" t="s">
        <v>114</v>
      </c>
      <c r="B31" s="4" t="n">
        <v>14</v>
      </c>
      <c r="C31" s="5" t="s">
        <v>115</v>
      </c>
      <c r="D31" s="5" t="s">
        <v>116</v>
      </c>
      <c r="E31" s="5" t="s">
        <v>117</v>
      </c>
      <c r="F31" s="4" t="s">
        <v>17</v>
      </c>
      <c r="G31" s="5" t="s">
        <v>118</v>
      </c>
    </row>
    <row r="32" customFormat="false" ht="23.85" hidden="false" customHeight="false" outlineLevel="0" collapsed="false">
      <c r="A32" s="4" t="s">
        <v>119</v>
      </c>
      <c r="B32" s="4" t="n">
        <v>13</v>
      </c>
      <c r="C32" s="5" t="s">
        <v>120</v>
      </c>
      <c r="D32" s="5" t="s">
        <v>121</v>
      </c>
      <c r="E32" s="5" t="s">
        <v>122</v>
      </c>
      <c r="F32" s="4" t="s">
        <v>17</v>
      </c>
      <c r="G32" s="5" t="s">
        <v>123</v>
      </c>
    </row>
    <row r="35" customFormat="false" ht="15" hidden="false" customHeight="false" outlineLevel="0" collapsed="false">
      <c r="A35" s="6" t="s">
        <v>124</v>
      </c>
    </row>
    <row r="36" customFormat="false" ht="15" hidden="false" customHeight="false" outlineLevel="0" collapsed="false">
      <c r="A36" s="7" t="s">
        <v>125</v>
      </c>
      <c r="B36" s="8" t="n">
        <f aca="false">COUNTIF(F5:F32,"Used")</f>
        <v>18</v>
      </c>
    </row>
    <row r="37" customFormat="false" ht="15" hidden="false" customHeight="false" outlineLevel="0" collapsed="false">
      <c r="A37" s="7" t="s">
        <v>126</v>
      </c>
      <c r="B37" s="8" t="n">
        <f aca="false">COUNTIF(F5:F32,"Spare")</f>
        <v>6</v>
      </c>
    </row>
    <row r="38" customFormat="false" ht="15" hidden="false" customHeight="false" outlineLevel="0" collapsed="false">
      <c r="A38" s="7" t="s">
        <v>127</v>
      </c>
      <c r="B38" s="8" t="n">
        <f aca="false">B36+B37</f>
        <v>24</v>
      </c>
    </row>
    <row r="39" customFormat="false" ht="15" hidden="false" customHeight="false" outlineLevel="0" collapsed="false">
      <c r="A39" s="7" t="s">
        <v>128</v>
      </c>
      <c r="B39" s="8" t="n">
        <f aca="false">COUNTIF(F5:F32,"Power")</f>
        <v>4</v>
      </c>
    </row>
    <row r="40" customFormat="false" ht="15" hidden="false" customHeight="false" outlineLevel="0" collapsed="false">
      <c r="A40" s="7" t="s">
        <v>129</v>
      </c>
      <c r="B40" s="8" t="n">
        <f aca="false">B38+B39</f>
        <v>28</v>
      </c>
    </row>
  </sheetData>
  <conditionalFormatting sqref="A5:G32">
    <cfRule type="expression" priority="2" aboveAverage="0" equalAverage="0" bottom="0" percent="0" rank="0" text="" dxfId="0">
      <formula>$F5="Used"</formula>
    </cfRule>
    <cfRule type="expression" priority="3" aboveAverage="0" equalAverage="0" bottom="0" percent="0" rank="0" text="" dxfId="1">
      <formula>$F5="Spare"</formula>
    </cfRule>
    <cfRule type="expression" priority="4" aboveAverage="0" equalAverage="0" bottom="0" percent="0" rank="0" text="" dxfId="2">
      <formula>$F5="Power"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0"/>
    <col collapsed="false" customWidth="true" hidden="false" outlineLevel="0" max="4" min="4" style="0" width="16"/>
    <col collapsed="false" customWidth="true" hidden="false" outlineLevel="0" max="5" min="5" style="0" width="8"/>
    <col collapsed="false" customWidth="true" hidden="false" outlineLevel="0" max="6" min="6" style="0" width="26"/>
    <col collapsed="false" customWidth="true" hidden="false" outlineLevel="0" max="7" min="7" style="0" width="44"/>
  </cols>
  <sheetData>
    <row r="1" customFormat="false" ht="17.35" hidden="false" customHeight="false" outlineLevel="0" collapsed="false">
      <c r="A1" s="1" t="s">
        <v>130</v>
      </c>
    </row>
    <row r="2" customFormat="false" ht="15" hidden="false" customHeight="false" outlineLevel="0" collapsed="false">
      <c r="A2" s="2" t="s">
        <v>131</v>
      </c>
    </row>
    <row r="3" customFormat="false" ht="15" hidden="false" customHeight="false" outlineLevel="0" collapsed="false">
      <c r="A3" s="2" t="s">
        <v>132</v>
      </c>
    </row>
    <row r="4" customFormat="false" ht="15" hidden="false" customHeight="false" outlineLevel="0" collapsed="false">
      <c r="A4" s="3" t="s">
        <v>133</v>
      </c>
      <c r="B4" s="3" t="s">
        <v>4</v>
      </c>
      <c r="C4" s="3" t="s">
        <v>3</v>
      </c>
      <c r="D4" s="3" t="s">
        <v>8</v>
      </c>
    </row>
    <row r="5" customFormat="false" ht="35.05" hidden="false" customHeight="false" outlineLevel="0" collapsed="false">
      <c r="A5" s="4" t="n">
        <v>0</v>
      </c>
      <c r="B5" s="4" t="str">
        <f aca="false">"ROW"&amp;A5</f>
        <v>ROW0</v>
      </c>
      <c r="C5" s="4" t="n">
        <v>0</v>
      </c>
      <c r="D5" s="5" t="s">
        <v>134</v>
      </c>
    </row>
    <row r="6" customFormat="false" ht="35.05" hidden="false" customHeight="false" outlineLevel="0" collapsed="false">
      <c r="A6" s="4" t="n">
        <v>1</v>
      </c>
      <c r="B6" s="4" t="str">
        <f aca="false">"ROW"&amp;A6</f>
        <v>ROW1</v>
      </c>
      <c r="C6" s="4" t="n">
        <v>1</v>
      </c>
      <c r="D6" s="5" t="s">
        <v>134</v>
      </c>
    </row>
    <row r="7" customFormat="false" ht="35.05" hidden="false" customHeight="false" outlineLevel="0" collapsed="false">
      <c r="A7" s="4" t="n">
        <v>2</v>
      </c>
      <c r="B7" s="4" t="str">
        <f aca="false">"ROW"&amp;A7</f>
        <v>ROW2</v>
      </c>
      <c r="C7" s="4" t="n">
        <v>2</v>
      </c>
      <c r="D7" s="5" t="s">
        <v>134</v>
      </c>
    </row>
    <row r="8" customFormat="false" ht="35.05" hidden="false" customHeight="false" outlineLevel="0" collapsed="false">
      <c r="A8" s="4" t="n">
        <v>3</v>
      </c>
      <c r="B8" s="4" t="str">
        <f aca="false">"ROW"&amp;A8</f>
        <v>ROW3</v>
      </c>
      <c r="C8" s="4" t="n">
        <v>3</v>
      </c>
      <c r="D8" s="5" t="s">
        <v>134</v>
      </c>
    </row>
    <row r="9" customFormat="false" ht="35.05" hidden="false" customHeight="false" outlineLevel="0" collapsed="false">
      <c r="A9" s="4" t="n">
        <v>4</v>
      </c>
      <c r="B9" s="4" t="str">
        <f aca="false">"ROW"&amp;A9</f>
        <v>ROW4</v>
      </c>
      <c r="C9" s="4" t="n">
        <v>4</v>
      </c>
      <c r="D9" s="5" t="s">
        <v>134</v>
      </c>
    </row>
    <row r="10" customFormat="false" ht="35.05" hidden="false" customHeight="false" outlineLevel="0" collapsed="false">
      <c r="A10" s="4" t="n">
        <v>5</v>
      </c>
      <c r="B10" s="4" t="str">
        <f aca="false">"ROW"&amp;A10</f>
        <v>ROW5</v>
      </c>
      <c r="C10" s="4" t="n">
        <v>5</v>
      </c>
      <c r="D10" s="5" t="s">
        <v>134</v>
      </c>
    </row>
    <row r="13" customFormat="false" ht="15" hidden="false" customHeight="false" outlineLevel="0" collapsed="false">
      <c r="A13" s="3" t="s">
        <v>135</v>
      </c>
      <c r="B13" s="3" t="s">
        <v>4</v>
      </c>
      <c r="C13" s="3" t="s">
        <v>136</v>
      </c>
      <c r="D13" s="3" t="s">
        <v>137</v>
      </c>
      <c r="E13" s="3" t="s">
        <v>138</v>
      </c>
      <c r="F13" s="3" t="s">
        <v>139</v>
      </c>
      <c r="G13" s="3" t="s">
        <v>8</v>
      </c>
    </row>
    <row r="14" customFormat="false" ht="15" hidden="false" customHeight="false" outlineLevel="0" collapsed="false">
      <c r="A14" s="4" t="n">
        <v>0</v>
      </c>
      <c r="B14" s="4" t="str">
        <f aca="false">"COL"&amp;A14</f>
        <v>COL0</v>
      </c>
      <c r="C14" s="4" t="str">
        <f aca="false">IF(A14&lt;8,"GPA"&amp;A14,"GPB"&amp;(A14-8))</f>
        <v>GPA0</v>
      </c>
      <c r="D14" s="4" t="str">
        <f aca="false">IF(A14&lt;8,"GPIOA","GPIOB")</f>
        <v>GPIOA</v>
      </c>
      <c r="E14" s="4" t="n">
        <f aca="false">MOD(A14,8)</f>
        <v>0</v>
      </c>
      <c r="F14" s="4" t="n">
        <f aca="false">IF(A14&lt;8,21+A14,1+(A14-8))</f>
        <v>21</v>
      </c>
      <c r="G14" s="5" t="s">
        <v>140</v>
      </c>
    </row>
    <row r="15" customFormat="false" ht="15" hidden="false" customHeight="false" outlineLevel="0" collapsed="false">
      <c r="A15" s="4" t="n">
        <v>1</v>
      </c>
      <c r="B15" s="4" t="str">
        <f aca="false">"COL"&amp;A15</f>
        <v>COL1</v>
      </c>
      <c r="C15" s="4" t="str">
        <f aca="false">IF(A15&lt;8,"GPA"&amp;A15,"GPB"&amp;(A15-8))</f>
        <v>GPA1</v>
      </c>
      <c r="D15" s="4" t="str">
        <f aca="false">IF(A15&lt;8,"GPIOA","GPIOB")</f>
        <v>GPIOA</v>
      </c>
      <c r="E15" s="4" t="n">
        <f aca="false">MOD(A15,8)</f>
        <v>1</v>
      </c>
      <c r="F15" s="4" t="n">
        <f aca="false">IF(A15&lt;8,21+A15,1+(A15-8))</f>
        <v>22</v>
      </c>
      <c r="G15" s="5" t="s">
        <v>140</v>
      </c>
    </row>
    <row r="16" customFormat="false" ht="15" hidden="false" customHeight="false" outlineLevel="0" collapsed="false">
      <c r="A16" s="4" t="n">
        <v>2</v>
      </c>
      <c r="B16" s="4" t="str">
        <f aca="false">"COL"&amp;A16</f>
        <v>COL2</v>
      </c>
      <c r="C16" s="4" t="str">
        <f aca="false">IF(A16&lt;8,"GPA"&amp;A16,"GPB"&amp;(A16-8))</f>
        <v>GPA2</v>
      </c>
      <c r="D16" s="4" t="str">
        <f aca="false">IF(A16&lt;8,"GPIOA","GPIOB")</f>
        <v>GPIOA</v>
      </c>
      <c r="E16" s="4" t="n">
        <f aca="false">MOD(A16,8)</f>
        <v>2</v>
      </c>
      <c r="F16" s="4" t="n">
        <f aca="false">IF(A16&lt;8,21+A16,1+(A16-8))</f>
        <v>23</v>
      </c>
      <c r="G16" s="5" t="s">
        <v>140</v>
      </c>
    </row>
    <row r="17" customFormat="false" ht="15" hidden="false" customHeight="false" outlineLevel="0" collapsed="false">
      <c r="A17" s="4" t="n">
        <v>3</v>
      </c>
      <c r="B17" s="4" t="str">
        <f aca="false">"COL"&amp;A17</f>
        <v>COL3</v>
      </c>
      <c r="C17" s="4" t="str">
        <f aca="false">IF(A17&lt;8,"GPA"&amp;A17,"GPB"&amp;(A17-8))</f>
        <v>GPA3</v>
      </c>
      <c r="D17" s="4" t="str">
        <f aca="false">IF(A17&lt;8,"GPIOA","GPIOB")</f>
        <v>GPIOA</v>
      </c>
      <c r="E17" s="4" t="n">
        <f aca="false">MOD(A17,8)</f>
        <v>3</v>
      </c>
      <c r="F17" s="4" t="n">
        <f aca="false">IF(A17&lt;8,21+A17,1+(A17-8))</f>
        <v>24</v>
      </c>
      <c r="G17" s="5" t="s">
        <v>140</v>
      </c>
    </row>
    <row r="18" customFormat="false" ht="15" hidden="false" customHeight="false" outlineLevel="0" collapsed="false">
      <c r="A18" s="4" t="n">
        <v>4</v>
      </c>
      <c r="B18" s="4" t="str">
        <f aca="false">"COL"&amp;A18</f>
        <v>COL4</v>
      </c>
      <c r="C18" s="4" t="str">
        <f aca="false">IF(A18&lt;8,"GPA"&amp;A18,"GPB"&amp;(A18-8))</f>
        <v>GPA4</v>
      </c>
      <c r="D18" s="4" t="str">
        <f aca="false">IF(A18&lt;8,"GPIOA","GPIOB")</f>
        <v>GPIOA</v>
      </c>
      <c r="E18" s="4" t="n">
        <f aca="false">MOD(A18,8)</f>
        <v>4</v>
      </c>
      <c r="F18" s="4" t="n">
        <f aca="false">IF(A18&lt;8,21+A18,1+(A18-8))</f>
        <v>25</v>
      </c>
      <c r="G18" s="5" t="s">
        <v>140</v>
      </c>
    </row>
    <row r="19" customFormat="false" ht="15" hidden="false" customHeight="false" outlineLevel="0" collapsed="false">
      <c r="A19" s="4" t="n">
        <v>5</v>
      </c>
      <c r="B19" s="4" t="str">
        <f aca="false">"COL"&amp;A19</f>
        <v>COL5</v>
      </c>
      <c r="C19" s="4" t="str">
        <f aca="false">IF(A19&lt;8,"GPA"&amp;A19,"GPB"&amp;(A19-8))</f>
        <v>GPA5</v>
      </c>
      <c r="D19" s="4" t="str">
        <f aca="false">IF(A19&lt;8,"GPIOA","GPIOB")</f>
        <v>GPIOA</v>
      </c>
      <c r="E19" s="4" t="n">
        <f aca="false">MOD(A19,8)</f>
        <v>5</v>
      </c>
      <c r="F19" s="4" t="n">
        <f aca="false">IF(A19&lt;8,21+A19,1+(A19-8))</f>
        <v>26</v>
      </c>
      <c r="G19" s="5" t="s">
        <v>140</v>
      </c>
    </row>
    <row r="20" customFormat="false" ht="15" hidden="false" customHeight="false" outlineLevel="0" collapsed="false">
      <c r="A20" s="4" t="n">
        <v>6</v>
      </c>
      <c r="B20" s="4" t="str">
        <f aca="false">"COL"&amp;A20</f>
        <v>COL6</v>
      </c>
      <c r="C20" s="4" t="str">
        <f aca="false">IF(A20&lt;8,"GPA"&amp;A20,"GPB"&amp;(A20-8))</f>
        <v>GPA6</v>
      </c>
      <c r="D20" s="4" t="str">
        <f aca="false">IF(A20&lt;8,"GPIOA","GPIOB")</f>
        <v>GPIOA</v>
      </c>
      <c r="E20" s="4" t="n">
        <f aca="false">MOD(A20,8)</f>
        <v>6</v>
      </c>
      <c r="F20" s="4" t="n">
        <f aca="false">IF(A20&lt;8,21+A20,1+(A20-8))</f>
        <v>27</v>
      </c>
      <c r="G20" s="5" t="s">
        <v>140</v>
      </c>
    </row>
    <row r="21" customFormat="false" ht="15" hidden="false" customHeight="false" outlineLevel="0" collapsed="false">
      <c r="A21" s="4" t="n">
        <v>7</v>
      </c>
      <c r="B21" s="4" t="str">
        <f aca="false">"COL"&amp;A21</f>
        <v>COL7</v>
      </c>
      <c r="C21" s="4" t="str">
        <f aca="false">IF(A21&lt;8,"GPA"&amp;A21,"GPB"&amp;(A21-8))</f>
        <v>GPA7</v>
      </c>
      <c r="D21" s="4" t="str">
        <f aca="false">IF(A21&lt;8,"GPIOA","GPIOB")</f>
        <v>GPIOA</v>
      </c>
      <c r="E21" s="4" t="n">
        <f aca="false">MOD(A21,8)</f>
        <v>7</v>
      </c>
      <c r="F21" s="4" t="n">
        <f aca="false">IF(A21&lt;8,21+A21,1+(A21-8))</f>
        <v>28</v>
      </c>
      <c r="G21" s="5" t="s">
        <v>140</v>
      </c>
    </row>
    <row r="22" customFormat="false" ht="15" hidden="false" customHeight="false" outlineLevel="0" collapsed="false">
      <c r="A22" s="4" t="n">
        <v>8</v>
      </c>
      <c r="B22" s="4" t="str">
        <f aca="false">"COL"&amp;A22</f>
        <v>COL8</v>
      </c>
      <c r="C22" s="4" t="str">
        <f aca="false">IF(A22&lt;8,"GPA"&amp;A22,"GPB"&amp;(A22-8))</f>
        <v>GPB0</v>
      </c>
      <c r="D22" s="4" t="str">
        <f aca="false">IF(A22&lt;8,"GPIOA","GPIOB")</f>
        <v>GPIOB</v>
      </c>
      <c r="E22" s="4" t="n">
        <f aca="false">MOD(A22,8)</f>
        <v>0</v>
      </c>
      <c r="F22" s="4" t="n">
        <f aca="false">IF(A22&lt;8,21+A22,1+(A22-8))</f>
        <v>1</v>
      </c>
      <c r="G22" s="5" t="s">
        <v>140</v>
      </c>
    </row>
    <row r="23" customFormat="false" ht="15" hidden="false" customHeight="false" outlineLevel="0" collapsed="false">
      <c r="A23" s="4" t="n">
        <v>9</v>
      </c>
      <c r="B23" s="4" t="str">
        <f aca="false">"COL"&amp;A23</f>
        <v>COL9</v>
      </c>
      <c r="C23" s="4" t="str">
        <f aca="false">IF(A23&lt;8,"GPA"&amp;A23,"GPB"&amp;(A23-8))</f>
        <v>GPB1</v>
      </c>
      <c r="D23" s="4" t="str">
        <f aca="false">IF(A23&lt;8,"GPIOA","GPIOB")</f>
        <v>GPIOB</v>
      </c>
      <c r="E23" s="4" t="n">
        <f aca="false">MOD(A23,8)</f>
        <v>1</v>
      </c>
      <c r="F23" s="4" t="n">
        <f aca="false">IF(A23&lt;8,21+A23,1+(A23-8))</f>
        <v>2</v>
      </c>
      <c r="G23" s="5" t="s">
        <v>140</v>
      </c>
    </row>
    <row r="24" customFormat="false" ht="15" hidden="false" customHeight="false" outlineLevel="0" collapsed="false">
      <c r="A24" s="4" t="n">
        <v>10</v>
      </c>
      <c r="B24" s="4" t="str">
        <f aca="false">"COL"&amp;A24</f>
        <v>COL10</v>
      </c>
      <c r="C24" s="4" t="str">
        <f aca="false">IF(A24&lt;8,"GPA"&amp;A24,"GPB"&amp;(A24-8))</f>
        <v>GPB2</v>
      </c>
      <c r="D24" s="4" t="str">
        <f aca="false">IF(A24&lt;8,"GPIOA","GPIOB")</f>
        <v>GPIOB</v>
      </c>
      <c r="E24" s="4" t="n">
        <f aca="false">MOD(A24,8)</f>
        <v>2</v>
      </c>
      <c r="F24" s="4" t="n">
        <f aca="false">IF(A24&lt;8,21+A24,1+(A24-8))</f>
        <v>3</v>
      </c>
      <c r="G24" s="5" t="s">
        <v>140</v>
      </c>
    </row>
    <row r="25" customFormat="false" ht="15" hidden="false" customHeight="false" outlineLevel="0" collapsed="false">
      <c r="A25" s="4" t="n">
        <v>11</v>
      </c>
      <c r="B25" s="4" t="str">
        <f aca="false">"COL"&amp;A25</f>
        <v>COL11</v>
      </c>
      <c r="C25" s="4" t="str">
        <f aca="false">IF(A25&lt;8,"GPA"&amp;A25,"GPB"&amp;(A25-8))</f>
        <v>GPB3</v>
      </c>
      <c r="D25" s="4" t="str">
        <f aca="false">IF(A25&lt;8,"GPIOA","GPIOB")</f>
        <v>GPIOB</v>
      </c>
      <c r="E25" s="4" t="n">
        <f aca="false">MOD(A25,8)</f>
        <v>3</v>
      </c>
      <c r="F25" s="4" t="n">
        <f aca="false">IF(A25&lt;8,21+A25,1+(A25-8))</f>
        <v>4</v>
      </c>
      <c r="G25" s="5" t="s">
        <v>140</v>
      </c>
    </row>
    <row r="26" customFormat="false" ht="15" hidden="false" customHeight="false" outlineLevel="0" collapsed="false">
      <c r="A26" s="4" t="n">
        <v>12</v>
      </c>
      <c r="B26" s="4" t="str">
        <f aca="false">"COL"&amp;A26</f>
        <v>COL12</v>
      </c>
      <c r="C26" s="4" t="str">
        <f aca="false">IF(A26&lt;8,"GPA"&amp;A26,"GPB"&amp;(A26-8))</f>
        <v>GPB4</v>
      </c>
      <c r="D26" s="4" t="str">
        <f aca="false">IF(A26&lt;8,"GPIOA","GPIOB")</f>
        <v>GPIOB</v>
      </c>
      <c r="E26" s="4" t="n">
        <f aca="false">MOD(A26,8)</f>
        <v>4</v>
      </c>
      <c r="F26" s="4" t="n">
        <f aca="false">IF(A26&lt;8,21+A26,1+(A26-8))</f>
        <v>5</v>
      </c>
      <c r="G26" s="5" t="s">
        <v>140</v>
      </c>
    </row>
    <row r="27" customFormat="false" ht="15" hidden="false" customHeight="false" outlineLevel="0" collapsed="false">
      <c r="A27" s="4" t="n">
        <v>13</v>
      </c>
      <c r="B27" s="4" t="str">
        <f aca="false">"COL"&amp;A27</f>
        <v>COL13</v>
      </c>
      <c r="C27" s="4" t="str">
        <f aca="false">IF(A27&lt;8,"GPA"&amp;A27,"GPB"&amp;(A27-8))</f>
        <v>GPB5</v>
      </c>
      <c r="D27" s="4" t="str">
        <f aca="false">IF(A27&lt;8,"GPIOA","GPIOB")</f>
        <v>GPIOB</v>
      </c>
      <c r="E27" s="4" t="n">
        <f aca="false">MOD(A27,8)</f>
        <v>5</v>
      </c>
      <c r="F27" s="4" t="n">
        <f aca="false">IF(A27&lt;8,21+A27,1+(A27-8))</f>
        <v>6</v>
      </c>
      <c r="G27" s="5" t="s">
        <v>140</v>
      </c>
    </row>
    <row r="28" customFormat="false" ht="15" hidden="false" customHeight="false" outlineLevel="0" collapsed="false">
      <c r="A28" s="4" t="n">
        <v>14</v>
      </c>
      <c r="B28" s="4" t="str">
        <f aca="false">"COL"&amp;A28</f>
        <v>COL14</v>
      </c>
      <c r="C28" s="4" t="str">
        <f aca="false">IF(A28&lt;8,"GPA"&amp;A28,"GPB"&amp;(A28-8))</f>
        <v>GPB6</v>
      </c>
      <c r="D28" s="4" t="str">
        <f aca="false">IF(A28&lt;8,"GPIOA","GPIOB")</f>
        <v>GPIOB</v>
      </c>
      <c r="E28" s="4" t="n">
        <f aca="false">MOD(A28,8)</f>
        <v>6</v>
      </c>
      <c r="F28" s="4" t="n">
        <f aca="false">IF(A28&lt;8,21+A28,1+(A28-8))</f>
        <v>7</v>
      </c>
      <c r="G28" s="5" t="s">
        <v>140</v>
      </c>
    </row>
    <row r="29" customFormat="false" ht="15" hidden="false" customHeight="false" outlineLevel="0" collapsed="false">
      <c r="A29" s="4" t="n">
        <v>15</v>
      </c>
      <c r="B29" s="4" t="str">
        <f aca="false">"COL"&amp;A29</f>
        <v>COL15</v>
      </c>
      <c r="C29" s="4" t="str">
        <f aca="false">IF(A29&lt;8,"GPA"&amp;A29,"GPB"&amp;(A29-8))</f>
        <v>GPB7</v>
      </c>
      <c r="D29" s="4" t="str">
        <f aca="false">IF(A29&lt;8,"GPIOA","GPIOB")</f>
        <v>GPIOB</v>
      </c>
      <c r="E29" s="4" t="n">
        <f aca="false">MOD(A29,8)</f>
        <v>7</v>
      </c>
      <c r="F29" s="4" t="n">
        <f aca="false">IF(A29&lt;8,21+A29,1+(A29-8))</f>
        <v>8</v>
      </c>
      <c r="G29" s="5" t="s">
        <v>140</v>
      </c>
    </row>
    <row r="32" customFormat="false" ht="15" hidden="false" customHeight="false" outlineLevel="0" collapsed="false">
      <c r="A32" s="6" t="s">
        <v>141</v>
      </c>
      <c r="C32" s="8" t="n">
        <f aca="false">COUNT(A5:A10)*COUNT(A14:A29)</f>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4"/>
    <col collapsed="false" customWidth="true" hidden="false" outlineLevel="0" max="4" min="4" style="0" width="18"/>
    <col collapsed="false" customWidth="true" hidden="false" outlineLevel="0" max="5" min="5" style="0" width="26"/>
    <col collapsed="false" customWidth="true" hidden="false" outlineLevel="0" max="6" min="6" style="0" width="70"/>
  </cols>
  <sheetData>
    <row r="1" customFormat="false" ht="17.35" hidden="false" customHeight="false" outlineLevel="0" collapsed="false">
      <c r="A1" s="1" t="s">
        <v>142</v>
      </c>
    </row>
    <row r="2" customFormat="false" ht="15" hidden="false" customHeight="false" outlineLevel="0" collapsed="false">
      <c r="A2" s="2" t="s">
        <v>143</v>
      </c>
    </row>
    <row r="4" customFormat="false" ht="23.85" hidden="false" customHeight="false" outlineLevel="0" collapsed="false">
      <c r="A4" s="3" t="s">
        <v>144</v>
      </c>
      <c r="B4" s="3" t="s">
        <v>145</v>
      </c>
      <c r="C4" s="3" t="s">
        <v>146</v>
      </c>
      <c r="D4" s="3" t="s">
        <v>147</v>
      </c>
      <c r="E4" s="3" t="s">
        <v>148</v>
      </c>
      <c r="F4" s="3" t="s">
        <v>8</v>
      </c>
    </row>
    <row r="5" customFormat="false" ht="15" hidden="false" customHeight="false" outlineLevel="0" collapsed="false">
      <c r="A5" s="4" t="n">
        <v>1</v>
      </c>
      <c r="B5" s="4" t="s">
        <v>149</v>
      </c>
      <c r="C5" s="4" t="s">
        <v>150</v>
      </c>
      <c r="D5" s="4" t="n">
        <v>8</v>
      </c>
      <c r="E5" s="5" t="s">
        <v>151</v>
      </c>
      <c r="F5" s="5"/>
    </row>
    <row r="6" customFormat="false" ht="15" hidden="false" customHeight="false" outlineLevel="0" collapsed="false">
      <c r="A6" s="4" t="n">
        <v>2</v>
      </c>
      <c r="B6" s="4" t="s">
        <v>152</v>
      </c>
      <c r="C6" s="4" t="s">
        <v>150</v>
      </c>
      <c r="D6" s="4" t="n">
        <v>7</v>
      </c>
      <c r="E6" s="5" t="s">
        <v>153</v>
      </c>
      <c r="F6" s="5"/>
    </row>
    <row r="7" customFormat="false" ht="15" hidden="false" customHeight="false" outlineLevel="0" collapsed="false">
      <c r="A7" s="4" t="n">
        <v>3</v>
      </c>
      <c r="B7" s="4" t="s">
        <v>154</v>
      </c>
      <c r="C7" s="4" t="s">
        <v>150</v>
      </c>
      <c r="D7" s="4" t="n">
        <v>6</v>
      </c>
      <c r="E7" s="5" t="s">
        <v>155</v>
      </c>
      <c r="F7" s="5"/>
    </row>
    <row r="8" customFormat="false" ht="15" hidden="false" customHeight="false" outlineLevel="0" collapsed="false">
      <c r="A8" s="4" t="n">
        <v>4</v>
      </c>
      <c r="B8" s="4" t="s">
        <v>156</v>
      </c>
      <c r="C8" s="4" t="s">
        <v>150</v>
      </c>
      <c r="D8" s="4" t="n">
        <v>5</v>
      </c>
      <c r="E8" s="5" t="s">
        <v>157</v>
      </c>
      <c r="F8" s="5"/>
    </row>
    <row r="9" customFormat="false" ht="15" hidden="false" customHeight="false" outlineLevel="0" collapsed="false">
      <c r="A9" s="4" t="n">
        <v>5</v>
      </c>
      <c r="B9" s="4" t="s">
        <v>158</v>
      </c>
      <c r="C9" s="4" t="s">
        <v>150</v>
      </c>
      <c r="D9" s="4" t="n">
        <v>4</v>
      </c>
      <c r="E9" s="5" t="s">
        <v>159</v>
      </c>
      <c r="F9" s="5"/>
    </row>
    <row r="10" customFormat="false" ht="15" hidden="false" customHeight="false" outlineLevel="0" collapsed="false">
      <c r="A10" s="4" t="n">
        <v>6</v>
      </c>
      <c r="B10" s="4" t="s">
        <v>160</v>
      </c>
      <c r="C10" s="4" t="s">
        <v>150</v>
      </c>
      <c r="D10" s="4" t="n">
        <v>3</v>
      </c>
      <c r="E10" s="5" t="s">
        <v>161</v>
      </c>
      <c r="F10" s="5"/>
    </row>
    <row r="11" customFormat="false" ht="15" hidden="false" customHeight="false" outlineLevel="0" collapsed="false">
      <c r="A11" s="4" t="n">
        <v>7</v>
      </c>
      <c r="B11" s="4" t="s">
        <v>162</v>
      </c>
      <c r="C11" s="4" t="s">
        <v>150</v>
      </c>
      <c r="D11" s="4" t="n">
        <v>2</v>
      </c>
      <c r="E11" s="5" t="s">
        <v>163</v>
      </c>
      <c r="F11" s="5"/>
    </row>
    <row r="12" customFormat="false" ht="15" hidden="false" customHeight="false" outlineLevel="0" collapsed="false">
      <c r="A12" s="4" t="n">
        <v>8</v>
      </c>
      <c r="B12" s="4" t="s">
        <v>164</v>
      </c>
      <c r="C12" s="4" t="s">
        <v>150</v>
      </c>
      <c r="D12" s="4" t="n">
        <v>1</v>
      </c>
      <c r="E12" s="5" t="s">
        <v>165</v>
      </c>
      <c r="F12" s="5"/>
    </row>
    <row r="13" customFormat="false" ht="15" hidden="false" customHeight="false" outlineLevel="0" collapsed="false">
      <c r="A13" s="4" t="n">
        <v>9</v>
      </c>
      <c r="B13" s="4" t="s">
        <v>166</v>
      </c>
      <c r="C13" s="4" t="s">
        <v>167</v>
      </c>
      <c r="D13" s="4" t="n">
        <v>1</v>
      </c>
      <c r="E13" s="5" t="s">
        <v>77</v>
      </c>
      <c r="F13" s="5" t="s">
        <v>168</v>
      </c>
    </row>
    <row r="14" customFormat="false" ht="15" hidden="false" customHeight="false" outlineLevel="0" collapsed="false">
      <c r="A14" s="4" t="n">
        <v>10</v>
      </c>
      <c r="B14" s="4" t="s">
        <v>169</v>
      </c>
      <c r="C14" s="4" t="s">
        <v>170</v>
      </c>
      <c r="D14" s="4" t="n">
        <v>1</v>
      </c>
      <c r="E14" s="5" t="s">
        <v>10</v>
      </c>
      <c r="F14" s="5"/>
    </row>
    <row r="15" customFormat="false" ht="15" hidden="false" customHeight="false" outlineLevel="0" collapsed="false">
      <c r="A15" s="4" t="n">
        <v>11</v>
      </c>
      <c r="B15" s="4" t="s">
        <v>171</v>
      </c>
      <c r="C15" s="4" t="s">
        <v>172</v>
      </c>
      <c r="D15" s="4" t="s">
        <v>173</v>
      </c>
      <c r="E15" s="5" t="s">
        <v>174</v>
      </c>
      <c r="F15" s="5" t="s">
        <v>175</v>
      </c>
    </row>
    <row r="16" customFormat="false" ht="23.85" hidden="false" customHeight="false" outlineLevel="0" collapsed="false">
      <c r="A16" s="4" t="n">
        <v>12</v>
      </c>
      <c r="B16" s="4" t="s">
        <v>176</v>
      </c>
      <c r="C16" s="4" t="s">
        <v>177</v>
      </c>
      <c r="D16" s="4" t="n">
        <v>8</v>
      </c>
      <c r="E16" s="5" t="s">
        <v>178</v>
      </c>
      <c r="F16" s="5" t="s">
        <v>179</v>
      </c>
    </row>
    <row r="17" customFormat="false" ht="15" hidden="false" customHeight="false" outlineLevel="0" collapsed="false">
      <c r="A17" s="4" t="n">
        <v>13</v>
      </c>
      <c r="B17" s="4" t="s">
        <v>180</v>
      </c>
      <c r="C17" s="4" t="s">
        <v>177</v>
      </c>
      <c r="D17" s="4" t="n">
        <v>7</v>
      </c>
      <c r="E17" s="5" t="s">
        <v>181</v>
      </c>
      <c r="F17" s="5" t="s">
        <v>100</v>
      </c>
    </row>
    <row r="18" customFormat="false" ht="15" hidden="false" customHeight="false" outlineLevel="0" collapsed="false">
      <c r="A18" s="4" t="n">
        <v>14</v>
      </c>
      <c r="B18" s="4" t="s">
        <v>171</v>
      </c>
      <c r="C18" s="4" t="s">
        <v>172</v>
      </c>
      <c r="D18" s="4" t="s">
        <v>173</v>
      </c>
      <c r="E18" s="5" t="s">
        <v>174</v>
      </c>
      <c r="F18" s="5" t="s">
        <v>182</v>
      </c>
    </row>
    <row r="19" customFormat="false" ht="15" hidden="false" customHeight="false" outlineLevel="0" collapsed="false">
      <c r="A19" s="4" t="n">
        <v>15</v>
      </c>
      <c r="B19" s="4" t="s">
        <v>183</v>
      </c>
      <c r="C19" s="4" t="s">
        <v>177</v>
      </c>
      <c r="D19" s="4" t="n">
        <v>3</v>
      </c>
      <c r="E19" s="5" t="s">
        <v>10</v>
      </c>
      <c r="F19" s="5" t="s">
        <v>184</v>
      </c>
    </row>
    <row r="20" customFormat="false" ht="15" hidden="false" customHeight="false" outlineLevel="0" collapsed="false">
      <c r="A20" s="4" t="n">
        <v>16</v>
      </c>
      <c r="B20" s="4" t="s">
        <v>185</v>
      </c>
      <c r="C20" s="4" t="s">
        <v>177</v>
      </c>
      <c r="D20" s="4" t="n">
        <v>2</v>
      </c>
      <c r="E20" s="5" t="s">
        <v>10</v>
      </c>
      <c r="F20" s="5" t="s">
        <v>186</v>
      </c>
    </row>
    <row r="21" customFormat="false" ht="15" hidden="false" customHeight="false" outlineLevel="0" collapsed="false">
      <c r="A21" s="4" t="n">
        <v>17</v>
      </c>
      <c r="B21" s="4" t="s">
        <v>187</v>
      </c>
      <c r="C21" s="4" t="s">
        <v>177</v>
      </c>
      <c r="D21" s="4" t="n">
        <v>1</v>
      </c>
      <c r="E21" s="5" t="s">
        <v>10</v>
      </c>
      <c r="F21" s="5" t="s">
        <v>188</v>
      </c>
    </row>
    <row r="22" customFormat="false" ht="15" hidden="false" customHeight="false" outlineLevel="0" collapsed="false">
      <c r="A22" s="4" t="n">
        <v>18</v>
      </c>
      <c r="B22" s="4" t="s">
        <v>189</v>
      </c>
      <c r="C22" s="4" t="s">
        <v>177</v>
      </c>
      <c r="D22" s="4" t="n">
        <v>4</v>
      </c>
      <c r="E22" s="5" t="s">
        <v>77</v>
      </c>
      <c r="F22" s="5" t="s">
        <v>190</v>
      </c>
    </row>
    <row r="23" customFormat="false" ht="15" hidden="false" customHeight="false" outlineLevel="0" collapsed="false">
      <c r="A23" s="4" t="n">
        <v>19</v>
      </c>
      <c r="B23" s="4" t="s">
        <v>191</v>
      </c>
      <c r="C23" s="4" t="s">
        <v>177</v>
      </c>
      <c r="D23" s="4" t="n">
        <v>5</v>
      </c>
      <c r="E23" s="5" t="s">
        <v>174</v>
      </c>
      <c r="F23" s="5" t="s">
        <v>192</v>
      </c>
    </row>
    <row r="24" customFormat="false" ht="15" hidden="false" customHeight="false" outlineLevel="0" collapsed="false">
      <c r="A24" s="4" t="n">
        <v>20</v>
      </c>
      <c r="B24" s="4" t="s">
        <v>193</v>
      </c>
      <c r="C24" s="4" t="s">
        <v>177</v>
      </c>
      <c r="D24" s="4" t="n">
        <v>6</v>
      </c>
      <c r="E24" s="5" t="s">
        <v>194</v>
      </c>
      <c r="F24" s="5" t="s">
        <v>195</v>
      </c>
    </row>
    <row r="25" customFormat="false" ht="15" hidden="false" customHeight="false" outlineLevel="0" collapsed="false">
      <c r="A25" s="4" t="n">
        <v>21</v>
      </c>
      <c r="B25" s="4" t="s">
        <v>196</v>
      </c>
      <c r="C25" s="4" t="s">
        <v>150</v>
      </c>
      <c r="D25" s="4" t="n">
        <v>16</v>
      </c>
      <c r="E25" s="5" t="s">
        <v>197</v>
      </c>
      <c r="F25" s="5"/>
    </row>
    <row r="26" customFormat="false" ht="15" hidden="false" customHeight="false" outlineLevel="0" collapsed="false">
      <c r="A26" s="4" t="n">
        <v>22</v>
      </c>
      <c r="B26" s="4" t="s">
        <v>198</v>
      </c>
      <c r="C26" s="4" t="s">
        <v>150</v>
      </c>
      <c r="D26" s="4" t="n">
        <v>15</v>
      </c>
      <c r="E26" s="5" t="s">
        <v>199</v>
      </c>
      <c r="F26" s="5"/>
    </row>
    <row r="27" customFormat="false" ht="15" hidden="false" customHeight="false" outlineLevel="0" collapsed="false">
      <c r="A27" s="4" t="n">
        <v>23</v>
      </c>
      <c r="B27" s="4" t="s">
        <v>200</v>
      </c>
      <c r="C27" s="4" t="s">
        <v>150</v>
      </c>
      <c r="D27" s="4" t="n">
        <v>14</v>
      </c>
      <c r="E27" s="5" t="s">
        <v>201</v>
      </c>
      <c r="F27" s="5"/>
    </row>
    <row r="28" customFormat="false" ht="15" hidden="false" customHeight="false" outlineLevel="0" collapsed="false">
      <c r="A28" s="4" t="n">
        <v>24</v>
      </c>
      <c r="B28" s="4" t="s">
        <v>202</v>
      </c>
      <c r="C28" s="4" t="s">
        <v>150</v>
      </c>
      <c r="D28" s="4" t="n">
        <v>13</v>
      </c>
      <c r="E28" s="5" t="s">
        <v>203</v>
      </c>
      <c r="F28" s="5"/>
    </row>
    <row r="29" customFormat="false" ht="15" hidden="false" customHeight="false" outlineLevel="0" collapsed="false">
      <c r="A29" s="4" t="n">
        <v>25</v>
      </c>
      <c r="B29" s="4" t="s">
        <v>204</v>
      </c>
      <c r="C29" s="4" t="s">
        <v>150</v>
      </c>
      <c r="D29" s="4" t="n">
        <v>12</v>
      </c>
      <c r="E29" s="5" t="s">
        <v>205</v>
      </c>
      <c r="F29" s="5"/>
    </row>
    <row r="30" customFormat="false" ht="15" hidden="false" customHeight="false" outlineLevel="0" collapsed="false">
      <c r="A30" s="4" t="n">
        <v>26</v>
      </c>
      <c r="B30" s="4" t="s">
        <v>206</v>
      </c>
      <c r="C30" s="4" t="s">
        <v>150</v>
      </c>
      <c r="D30" s="4" t="n">
        <v>11</v>
      </c>
      <c r="E30" s="5" t="s">
        <v>207</v>
      </c>
      <c r="F30" s="5"/>
    </row>
    <row r="31" customFormat="false" ht="15" hidden="false" customHeight="false" outlineLevel="0" collapsed="false">
      <c r="A31" s="4" t="n">
        <v>27</v>
      </c>
      <c r="B31" s="4" t="s">
        <v>208</v>
      </c>
      <c r="C31" s="4" t="s">
        <v>150</v>
      </c>
      <c r="D31" s="4" t="n">
        <v>10</v>
      </c>
      <c r="E31" s="5" t="s">
        <v>209</v>
      </c>
      <c r="F31" s="5"/>
    </row>
    <row r="32" customFormat="false" ht="15" hidden="false" customHeight="false" outlineLevel="0" collapsed="false">
      <c r="A32" s="4" t="n">
        <v>28</v>
      </c>
      <c r="B32" s="4" t="s">
        <v>210</v>
      </c>
      <c r="C32" s="4" t="s">
        <v>150</v>
      </c>
      <c r="D32" s="4" t="n">
        <v>9</v>
      </c>
      <c r="E32" s="5" t="s">
        <v>211</v>
      </c>
      <c r="F3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0"/>
    <col collapsed="false" customWidth="true" hidden="false" outlineLevel="0" max="4" min="4" style="0" width="64"/>
  </cols>
  <sheetData>
    <row r="1" customFormat="false" ht="17.35" hidden="false" customHeight="false" outlineLevel="0" collapsed="false">
      <c r="A1" s="1" t="s">
        <v>212</v>
      </c>
    </row>
    <row r="2" customFormat="false" ht="15" hidden="false" customHeight="false" outlineLevel="0" collapsed="false">
      <c r="A2" s="2" t="s">
        <v>213</v>
      </c>
    </row>
    <row r="4" customFormat="false" ht="15" hidden="false" customHeight="false" outlineLevel="0" collapsed="false">
      <c r="A4" s="9" t="s">
        <v>214</v>
      </c>
      <c r="B4" s="10"/>
      <c r="C4" s="10"/>
      <c r="D4" s="10"/>
    </row>
    <row r="5" customFormat="false" ht="15" hidden="false" customHeight="false" outlineLevel="0" collapsed="false">
      <c r="A5" s="3" t="s">
        <v>215</v>
      </c>
      <c r="B5" s="3" t="s">
        <v>216</v>
      </c>
      <c r="C5" s="3" t="s">
        <v>217</v>
      </c>
      <c r="D5" s="3" t="s">
        <v>8</v>
      </c>
    </row>
    <row r="6" customFormat="false" ht="15" hidden="false" customHeight="false" outlineLevel="0" collapsed="false">
      <c r="A6" s="4" t="n">
        <v>1</v>
      </c>
      <c r="B6" s="5" t="s">
        <v>10</v>
      </c>
      <c r="C6" s="4" t="s">
        <v>10</v>
      </c>
      <c r="D6" s="5"/>
    </row>
    <row r="7" customFormat="false" ht="15" hidden="false" customHeight="false" outlineLevel="0" collapsed="false">
      <c r="A7" s="4" t="n">
        <v>2</v>
      </c>
      <c r="B7" s="5" t="s">
        <v>218</v>
      </c>
      <c r="C7" s="4" t="s">
        <v>77</v>
      </c>
      <c r="D7" s="5" t="s">
        <v>219</v>
      </c>
    </row>
    <row r="8" customFormat="false" ht="15" hidden="false" customHeight="false" outlineLevel="0" collapsed="false">
      <c r="A8" s="4" t="n">
        <v>3</v>
      </c>
      <c r="B8" s="5" t="s">
        <v>220</v>
      </c>
      <c r="C8" s="4" t="n">
        <v>13</v>
      </c>
      <c r="D8" s="5" t="s">
        <v>221</v>
      </c>
    </row>
    <row r="9" customFormat="false" ht="15" hidden="false" customHeight="false" outlineLevel="0" collapsed="false">
      <c r="A9" s="4" t="n">
        <v>4</v>
      </c>
      <c r="B9" s="5" t="s">
        <v>180</v>
      </c>
      <c r="C9" s="4" t="n">
        <v>11</v>
      </c>
      <c r="D9" s="5" t="s">
        <v>222</v>
      </c>
    </row>
    <row r="10" customFormat="false" ht="15" hidden="false" customHeight="false" outlineLevel="0" collapsed="false">
      <c r="A10" s="4" t="n">
        <v>5</v>
      </c>
      <c r="B10" s="5" t="s">
        <v>223</v>
      </c>
      <c r="C10" s="4" t="n">
        <v>8</v>
      </c>
      <c r="D10" s="5" t="s">
        <v>224</v>
      </c>
    </row>
    <row r="11" customFormat="false" ht="15" hidden="false" customHeight="false" outlineLevel="0" collapsed="false">
      <c r="A11" s="4" t="n">
        <v>6</v>
      </c>
      <c r="B11" s="5" t="s">
        <v>225</v>
      </c>
      <c r="C11" s="4" t="n">
        <v>9</v>
      </c>
      <c r="D11" s="5" t="s">
        <v>226</v>
      </c>
    </row>
    <row r="12" customFormat="false" ht="15" hidden="false" customHeight="false" outlineLevel="0" collapsed="false">
      <c r="A12" s="4" t="n">
        <v>7</v>
      </c>
      <c r="B12" s="5" t="s">
        <v>227</v>
      </c>
      <c r="C12" s="4" t="n">
        <v>10</v>
      </c>
      <c r="D12" s="5" t="s">
        <v>228</v>
      </c>
    </row>
    <row r="13" customFormat="false" ht="15" hidden="false" customHeight="false" outlineLevel="0" collapsed="false">
      <c r="A13" s="4" t="n">
        <v>8</v>
      </c>
      <c r="B13" s="5" t="s">
        <v>229</v>
      </c>
      <c r="C13" s="4" t="n">
        <v>15</v>
      </c>
      <c r="D13" s="5" t="s">
        <v>230</v>
      </c>
    </row>
    <row r="16" customFormat="false" ht="15" hidden="false" customHeight="false" outlineLevel="0" collapsed="false">
      <c r="A16" s="9" t="s">
        <v>231</v>
      </c>
      <c r="B16" s="10"/>
      <c r="C16" s="10"/>
      <c r="D16" s="10"/>
    </row>
    <row r="17" customFormat="false" ht="15" hidden="false" customHeight="false" outlineLevel="0" collapsed="false">
      <c r="A17" s="3" t="s">
        <v>232</v>
      </c>
      <c r="B17" s="3" t="s">
        <v>216</v>
      </c>
      <c r="C17" s="3" t="s">
        <v>217</v>
      </c>
      <c r="D17" s="3" t="s">
        <v>8</v>
      </c>
    </row>
    <row r="18" customFormat="false" ht="15" hidden="false" customHeight="false" outlineLevel="0" collapsed="false">
      <c r="A18" s="4" t="s">
        <v>233</v>
      </c>
      <c r="B18" s="5" t="s">
        <v>234</v>
      </c>
      <c r="C18" s="4" t="n">
        <v>6</v>
      </c>
      <c r="D18" s="5" t="s">
        <v>235</v>
      </c>
    </row>
    <row r="19" customFormat="false" ht="15" hidden="false" customHeight="false" outlineLevel="0" collapsed="false">
      <c r="A19" s="4" t="s">
        <v>236</v>
      </c>
      <c r="B19" s="5" t="s">
        <v>237</v>
      </c>
      <c r="C19" s="4" t="s">
        <v>10</v>
      </c>
      <c r="D19" s="5"/>
    </row>
    <row r="20" customFormat="false" ht="15" hidden="false" customHeight="false" outlineLevel="0" collapsed="false">
      <c r="A20" s="4" t="s">
        <v>238</v>
      </c>
      <c r="B20" s="5" t="s">
        <v>239</v>
      </c>
      <c r="C20" s="4" t="n">
        <v>7</v>
      </c>
      <c r="D20" s="5" t="s">
        <v>235</v>
      </c>
    </row>
    <row r="21" customFormat="false" ht="15" hidden="false" customHeight="false" outlineLevel="0" collapsed="false">
      <c r="A21" s="4" t="s">
        <v>240</v>
      </c>
      <c r="B21" s="5" t="s">
        <v>241</v>
      </c>
      <c r="C21" s="4" t="n">
        <v>14</v>
      </c>
      <c r="D21" s="5" t="s">
        <v>45</v>
      </c>
    </row>
    <row r="22" customFormat="false" ht="15" hidden="false" customHeight="false" outlineLevel="0" collapsed="false">
      <c r="A22" s="4" t="s">
        <v>242</v>
      </c>
      <c r="B22" s="5" t="s">
        <v>241</v>
      </c>
      <c r="C22" s="4" t="s">
        <v>10</v>
      </c>
      <c r="D2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s>
  <sheetData>
    <row r="1" customFormat="false" ht="17.35" hidden="false" customHeight="false" outlineLevel="0" collapsed="false">
      <c r="A1" s="1" t="s">
        <v>243</v>
      </c>
    </row>
    <row r="3" customFormat="false" ht="23.85" hidden="false" customHeight="false" outlineLevel="0" collapsed="false">
      <c r="A3" s="11" t="n">
        <v>1</v>
      </c>
      <c r="B3" s="12" t="s">
        <v>244</v>
      </c>
    </row>
    <row r="4" customFormat="false" ht="23.85" hidden="false" customHeight="false" outlineLevel="0" collapsed="false">
      <c r="A4" s="11" t="n">
        <v>2</v>
      </c>
      <c r="B4" s="12" t="s">
        <v>245</v>
      </c>
    </row>
    <row r="5" customFormat="false" ht="15" hidden="false" customHeight="false" outlineLevel="0" collapsed="false">
      <c r="A5" s="11" t="n">
        <v>3</v>
      </c>
      <c r="B5" s="12" t="s">
        <v>246</v>
      </c>
    </row>
    <row r="6" customFormat="false" ht="23.85" hidden="false" customHeight="false" outlineLevel="0" collapsed="false">
      <c r="A6" s="11" t="n">
        <v>4</v>
      </c>
      <c r="B6" s="12" t="s">
        <v>247</v>
      </c>
    </row>
    <row r="7" customFormat="false" ht="15" hidden="false" customHeight="false" outlineLevel="0" collapsed="false">
      <c r="A7" s="11" t="n">
        <v>5</v>
      </c>
      <c r="B7" s="12" t="s">
        <v>248</v>
      </c>
    </row>
    <row r="8" customFormat="false" ht="15" hidden="false" customHeight="false" outlineLevel="0" collapsed="false">
      <c r="A8" s="11" t="n">
        <v>6</v>
      </c>
      <c r="B8" s="12" t="s">
        <v>249</v>
      </c>
    </row>
    <row r="9" customFormat="false" ht="15" hidden="false" customHeight="false" outlineLevel="0" collapsed="false">
      <c r="A9" s="11" t="n">
        <v>7</v>
      </c>
      <c r="B9" s="12" t="s">
        <v>250</v>
      </c>
    </row>
    <row r="10" customFormat="false" ht="23.85" hidden="false" customHeight="false" outlineLevel="0" collapsed="false">
      <c r="A10" s="11" t="n">
        <v>8</v>
      </c>
      <c r="B10" s="12" t="s">
        <v>251</v>
      </c>
    </row>
    <row r="11" customFormat="false" ht="23.85" hidden="false" customHeight="false" outlineLevel="0" collapsed="false">
      <c r="A11" s="11" t="n">
        <v>9</v>
      </c>
      <c r="B11" s="12" t="s">
        <v>252</v>
      </c>
    </row>
    <row r="12" customFormat="false" ht="15" hidden="false" customHeight="false" outlineLevel="0" collapsed="false">
      <c r="A12" s="11" t="n">
        <v>10</v>
      </c>
      <c r="B12" s="12"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2026-10-29T01:36:28Z</dcterms:created>
  <dc:creator>openpyxl</dc:creator>
  <dc:description/>
  <dc:language>en-US</dc:language>
  <cp:lastModifiedBy/>
  <dcterms:modified xsi:type="dcterms:W3CDTF">2026-10-29T01:36:28Z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